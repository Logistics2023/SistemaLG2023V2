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transport.sharepoint.com/sites/logisticsgear/documentos compartidos1/DOCUMENTOS LEGALES LOGISTICS GEAR LLC/formatos LLC/"/>
    </mc:Choice>
  </mc:AlternateContent>
  <xr:revisionPtr revIDLastSave="0" documentId="8_{1B58C0E0-B4AB-3D4A-A7C0-607453209150}" xr6:coauthVersionLast="47" xr6:coauthVersionMax="47" xr10:uidLastSave="{00000000-0000-0000-0000-000000000000}"/>
  <bookViews>
    <workbookView xWindow="0" yWindow="700" windowWidth="29260" windowHeight="15480" xr2:uid="{9C65F13A-A0F0-BE4D-8BC6-803962833EB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28" i="1"/>
  <c r="F34" i="1" l="1"/>
</calcChain>
</file>

<file path=xl/sharedStrings.xml><?xml version="1.0" encoding="utf-8"?>
<sst xmlns="http://schemas.openxmlformats.org/spreadsheetml/2006/main" count="94" uniqueCount="72">
  <si>
    <t>LOGISTICS GEAR LLC</t>
  </si>
  <si>
    <t>INVOICE</t>
  </si>
  <si>
    <t>Invoice No.</t>
  </si>
  <si>
    <t>BILL TO</t>
  </si>
  <si>
    <t>Country:</t>
  </si>
  <si>
    <t>Shipment Ref:</t>
  </si>
  <si>
    <t>BL/AWB:</t>
  </si>
  <si>
    <t>Client Ref:</t>
  </si>
  <si>
    <t>Destination:</t>
  </si>
  <si>
    <t>Origin:</t>
  </si>
  <si>
    <t>Company / Client:</t>
  </si>
  <si>
    <t>FREIGHT &amp; CHARGES</t>
  </si>
  <si>
    <t>Unit Rate</t>
  </si>
  <si>
    <t>PAYMENT INSTRUCTIONS</t>
  </si>
  <si>
    <t>Due Date:</t>
  </si>
  <si>
    <t>Term:</t>
  </si>
  <si>
    <t>Date:</t>
  </si>
  <si>
    <t>Consignor:</t>
  </si>
  <si>
    <t>Consignee:</t>
  </si>
  <si>
    <t>Bank Name</t>
  </si>
  <si>
    <t>Bank Address</t>
  </si>
  <si>
    <t>SWIFT / BIC Code</t>
  </si>
  <si>
    <t>CLNOUS66MER</t>
  </si>
  <si>
    <t>Beneficiary Name</t>
  </si>
  <si>
    <t>Account Number</t>
  </si>
  <si>
    <t>332309665180954</t>
  </si>
  <si>
    <t>Beneficiary Address</t>
  </si>
  <si>
    <t>LGI-001</t>
  </si>
  <si>
    <t>03/27/2026</t>
  </si>
  <si>
    <t>EXIMCRUZ SRL</t>
  </si>
  <si>
    <t>BOLIVIA</t>
  </si>
  <si>
    <t>LGP445</t>
  </si>
  <si>
    <t>Currency</t>
  </si>
  <si>
    <t>USD</t>
  </si>
  <si>
    <t xml:space="preserve">TOTAL CHARGES </t>
  </si>
  <si>
    <t>Service Description: Freight Forwarding &amp; Logistics Coordination Services</t>
  </si>
  <si>
    <t>As agreed</t>
  </si>
  <si>
    <t>UNIT</t>
  </si>
  <si>
    <t>TYPE</t>
  </si>
  <si>
    <t>KG</t>
  </si>
  <si>
    <t>AMOUNT</t>
  </si>
  <si>
    <t>CURRENCY</t>
  </si>
  <si>
    <t>BILL</t>
  </si>
  <si>
    <t>SHPT</t>
  </si>
  <si>
    <t>TRUCK</t>
  </si>
  <si>
    <t>CTR</t>
  </si>
  <si>
    <t>Exchange Rate 1 EUR =</t>
  </si>
  <si>
    <t xml:space="preserve">USD </t>
  </si>
  <si>
    <t>EUR</t>
  </si>
  <si>
    <t>AWB</t>
  </si>
  <si>
    <t>LETTERMAN DRIVE, SAN FRANCISCO, UNITED STATES OF AMERICA</t>
  </si>
  <si>
    <t>Payment to LOGISTICS GEAR LLC acting as logistics coordinator</t>
  </si>
  <si>
    <r>
      <rPr>
        <b/>
        <sz val="10"/>
        <color rgb="FF0070C0"/>
        <rFont val="MS Reference Sans Serif"/>
        <family val="2"/>
      </rPr>
      <t>LOGISTICS GEAR LLC</t>
    </r>
    <r>
      <rPr>
        <b/>
        <sz val="10"/>
        <color theme="1"/>
        <rFont val="MS Reference Sans Serif"/>
        <family val="2"/>
      </rPr>
      <t xml:space="preserve">
</t>
    </r>
    <r>
      <rPr>
        <sz val="10"/>
        <color theme="1"/>
        <rFont val="MS Reference Sans Serif"/>
        <family val="2"/>
      </rPr>
      <t xml:space="preserve">30 N Gould St Ste N, Sheridan, WY 82801, USA
Email: info@logisticsgear.com.bo   |   Web: logisticsgear.net
</t>
    </r>
  </si>
  <si>
    <t>All charges correspond to freight forwarding and logistics coordination services</t>
  </si>
  <si>
    <t>BORGES MEDINA FOODS COMPANY SL</t>
  </si>
  <si>
    <t>ARICA, CL</t>
  </si>
  <si>
    <t>HLCUSRZ260201076</t>
  </si>
  <si>
    <t>F 10 / EKN0900</t>
  </si>
  <si>
    <t>BARCELONA, ES</t>
  </si>
  <si>
    <t>1 CONT. 40'X9'6" HIGH CUBE CONT 1100 CARTONS BOLIVIAN SHELLED BRAZIL NUTS KERNELS. FAQ 2026 CROP.</t>
  </si>
  <si>
    <t>Terminal Handling Charge</t>
  </si>
  <si>
    <t>Origin surcharges</t>
  </si>
  <si>
    <t>Logistics Fee</t>
  </si>
  <si>
    <t>Description of Packages and Goods</t>
  </si>
  <si>
    <t>30 N Gould St Ste N, Sheridan, WY 82801, USA</t>
  </si>
  <si>
    <t>VGM</t>
  </si>
  <si>
    <t>Arica Port Agency</t>
  </si>
  <si>
    <t>Palletized</t>
  </si>
  <si>
    <t>Mercury</t>
  </si>
  <si>
    <t>BOOKING:</t>
  </si>
  <si>
    <t>Shipment Details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</si>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</sst>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8" formatCode="[$USD]\ #,##0.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theme="1"/>
      <name val="MS Reference Sans Serif"/>
      <family val="2"/>
    </font>
    <font>
      <b/>
      <sz val="10"/>
      <color theme="1"/>
      <name val="MS Reference Sans Serif"/>
      <family val="2"/>
    </font>
    <font>
      <b/>
      <sz val="10"/>
      <color rgb="FF0070C0"/>
      <name val="MS Reference Sans Serif"/>
      <family val="2"/>
    </font>
    <font>
      <b/>
      <sz val="10"/>
      <color theme="0"/>
      <name val="MS Reference Sans Serif"/>
      <family val="2"/>
    </font>
    <font>
      <b/>
      <sz val="10"/>
      <color rgb="FF3F57A6"/>
      <name val="MS Reference Sans Serif"/>
      <family val="2"/>
    </font>
    <font>
      <sz val="10"/>
      <color rgb="FF0000FF"/>
      <name val="MS Reference Sans Serif"/>
      <family val="2"/>
    </font>
    <font>
      <sz val="10"/>
      <color rgb="FF00B0F0"/>
      <name val="MS Reference Sans Serif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3F57A6"/>
      </left>
      <right style="thin">
        <color rgb="FF3F57A6"/>
      </right>
      <top style="thin">
        <color rgb="FF3F57A6"/>
      </top>
      <bottom style="thin">
        <color rgb="FF3F57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F57A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2" xfId="0" applyBorder="1"/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4" fillId="0" borderId="0" xfId="0" applyFont="1" applyAlignment="1">
      <alignment horizontal="left" wrapText="1"/>
    </xf>
    <xf numFmtId="0" fontId="4" fillId="0" borderId="0" xfId="0" applyFont="1" applyAlignment="1"/>
    <xf numFmtId="0" fontId="6" fillId="2" borderId="0" xfId="0" applyFont="1" applyFill="1" applyAlignment="1">
      <alignment horizontal="center" vertical="center"/>
    </xf>
    <xf numFmtId="0" fontId="7" fillId="0" borderId="0" xfId="0" applyFont="1" applyBorder="1"/>
    <xf numFmtId="0" fontId="8" fillId="0" borderId="0" xfId="0" applyFont="1" applyBorder="1"/>
    <xf numFmtId="14" fontId="8" fillId="0" borderId="0" xfId="0" applyNumberFormat="1" applyFont="1" applyBorder="1"/>
    <xf numFmtId="0" fontId="8" fillId="0" borderId="0" xfId="0" applyFont="1" applyBorder="1" applyAlignment="1"/>
    <xf numFmtId="0" fontId="8" fillId="0" borderId="0" xfId="0" applyFont="1" applyBorder="1" applyAlignment="1">
      <alignment vertical="center"/>
    </xf>
    <xf numFmtId="0" fontId="8" fillId="0" borderId="0" xfId="0" applyFont="1"/>
    <xf numFmtId="0" fontId="8" fillId="0" borderId="1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  <xf numFmtId="43" fontId="3" fillId="0" borderId="2" xfId="1" applyFont="1" applyBorder="1"/>
    <xf numFmtId="0" fontId="4" fillId="3" borderId="2" xfId="0" applyFont="1" applyFill="1" applyBorder="1" applyAlignment="1">
      <alignment horizontal="right"/>
    </xf>
    <xf numFmtId="0" fontId="4" fillId="0" borderId="0" xfId="0" applyFont="1" applyFill="1" applyBorder="1"/>
    <xf numFmtId="0" fontId="9" fillId="0" borderId="2" xfId="0" applyFont="1" applyBorder="1"/>
    <xf numFmtId="0" fontId="9" fillId="0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" fontId="9" fillId="0" borderId="2" xfId="0" applyNumberFormat="1" applyFont="1" applyBorder="1" applyAlignment="1">
      <alignment horizontal="center"/>
    </xf>
    <xf numFmtId="178" fontId="4" fillId="3" borderId="2" xfId="1" applyNumberFormat="1" applyFont="1" applyFill="1" applyBorder="1" applyAlignment="1">
      <alignment horizontal="center"/>
    </xf>
    <xf numFmtId="0" fontId="9" fillId="0" borderId="0" xfId="0" applyFont="1" applyBorder="1"/>
    <xf numFmtId="4" fontId="9" fillId="0" borderId="0" xfId="0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49" fontId="8" fillId="0" borderId="0" xfId="0" applyNumberFormat="1" applyFont="1" applyBorder="1" applyAlignment="1"/>
    <xf numFmtId="0" fontId="4" fillId="3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38749</xdr:colOff>
      <xdr:row>0</xdr:row>
      <xdr:rowOff>44960</xdr:rowOff>
    </xdr:from>
    <xdr:to>
      <xdr:col>6</xdr:col>
      <xdr:colOff>41422</xdr:colOff>
      <xdr:row>0</xdr:row>
      <xdr:rowOff>933960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BC6246-847F-4B1C-6490-1A3B1F623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0793" y="44960"/>
          <a:ext cx="109441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4FDE-C557-0D47-A0C6-4A22920A2F51}">
  <sheetPr>
    <pageSetUpPr fitToPage="1"/>
  </sheetPr>
  <dimension ref="A1:G49"/>
  <sheetViews>
    <sheetView tabSelected="1" view="pageLayout" topLeftCell="A34" zoomScaleNormal="100" workbookViewId="0">
      <selection activeCell="B10" sqref="A10:G13"/>
    </sheetView>
  </sheetViews>
  <sheetFormatPr baseColWidth="10" defaultRowHeight="13" x14ac:dyDescent="0.15"/>
  <cols>
    <col min="1" max="1" width="23.1640625" style="2" customWidth="1"/>
    <col min="2" max="2" width="18.6640625" style="2" bestFit="1" customWidth="1"/>
    <col min="3" max="3" width="18.5" style="2" bestFit="1" customWidth="1"/>
    <col min="4" max="4" width="13.5" style="2" bestFit="1" customWidth="1"/>
    <col min="5" max="5" width="10.83203125" style="2"/>
    <col min="6" max="6" width="14.33203125" style="2" customWidth="1"/>
    <col min="7" max="16384" width="10.83203125" style="2"/>
  </cols>
  <sheetData>
    <row r="1" spans="1:7" ht="77" customHeight="1" x14ac:dyDescent="0.15">
      <c r="A1" s="5" t="s">
        <v>52</v>
      </c>
      <c r="B1" s="5"/>
      <c r="C1" s="5"/>
      <c r="D1" s="5"/>
      <c r="E1" s="5"/>
      <c r="F1" s="5"/>
      <c r="G1" s="5"/>
    </row>
    <row r="2" spans="1:7" x14ac:dyDescent="0.15">
      <c r="A2" s="6"/>
      <c r="B2" s="6"/>
      <c r="C2" s="6"/>
      <c r="D2" s="6"/>
      <c r="E2" s="6"/>
      <c r="F2" s="6"/>
      <c r="G2" s="6"/>
    </row>
    <row r="3" spans="1:7" x14ac:dyDescent="0.15">
      <c r="A3" s="7" t="s">
        <v>1</v>
      </c>
      <c r="B3" s="7"/>
      <c r="C3" s="7"/>
      <c r="D3" s="7"/>
      <c r="E3" s="7"/>
      <c r="F3" s="7"/>
      <c r="G3" s="7"/>
    </row>
    <row r="5" spans="1:7" x14ac:dyDescent="0.15">
      <c r="B5" s="8" t="s">
        <v>2</v>
      </c>
      <c r="C5" s="9" t="s">
        <v>27</v>
      </c>
      <c r="D5" s="8" t="s">
        <v>16</v>
      </c>
      <c r="E5" s="10" t="s">
        <v>28</v>
      </c>
    </row>
    <row r="6" spans="1:7" x14ac:dyDescent="0.15">
      <c r="B6" s="8" t="s">
        <v>14</v>
      </c>
      <c r="C6" s="10" t="s">
        <v>28</v>
      </c>
      <c r="D6" s="8" t="s">
        <v>15</v>
      </c>
      <c r="E6" s="9" t="s">
        <v>36</v>
      </c>
    </row>
    <row r="8" spans="1:7" x14ac:dyDescent="0.15">
      <c r="A8" s="45" t="s">
        <v>3</v>
      </c>
      <c r="B8" s="45"/>
      <c r="C8" s="45"/>
      <c r="D8" s="45"/>
      <c r="E8" s="45"/>
      <c r="F8" s="45"/>
      <c r="G8" s="45"/>
    </row>
    <row r="10" spans="1:7" x14ac:dyDescent="0.15">
      <c r="B10" s="8" t="s">
        <v>10</v>
      </c>
      <c r="C10" s="11" t="s">
        <v>29</v>
      </c>
      <c r="D10" s="8" t="s">
        <v>4</v>
      </c>
      <c r="E10" s="11" t="s">
        <v>30</v>
      </c>
      <c r="F10" s="11"/>
      <c r="G10" s="11"/>
    </row>
    <row r="11" spans="1:7" x14ac:dyDescent="0.15">
      <c r="B11" s="8"/>
      <c r="C11" s="11"/>
      <c r="D11" s="8"/>
      <c r="E11" s="11"/>
      <c r="F11" s="11"/>
      <c r="G11" s="11"/>
    </row>
    <row r="12" spans="1:7" x14ac:dyDescent="0.15">
      <c r="A12" s="17" t="s">
        <v>70</v>
      </c>
      <c r="B12" s="17"/>
      <c r="C12" s="17"/>
      <c r="D12" s="17"/>
      <c r="E12" s="17"/>
      <c r="F12" s="17"/>
      <c r="G12" s="17"/>
    </row>
    <row r="13" spans="1:7" x14ac:dyDescent="0.15">
      <c r="B13" s="8"/>
      <c r="C13" s="11"/>
      <c r="D13" s="8"/>
      <c r="E13" s="11"/>
      <c r="F13" s="11"/>
      <c r="G13" s="11"/>
    </row>
    <row r="14" spans="1:7" x14ac:dyDescent="0.15">
      <c r="B14" s="8" t="s">
        <v>17</v>
      </c>
      <c r="C14" s="11" t="s">
        <v>29</v>
      </c>
      <c r="D14" s="8" t="s">
        <v>18</v>
      </c>
      <c r="E14" s="11" t="s">
        <v>54</v>
      </c>
      <c r="F14" s="11"/>
      <c r="G14" s="11"/>
    </row>
    <row r="15" spans="1:7" x14ac:dyDescent="0.15">
      <c r="B15" s="8" t="s">
        <v>6</v>
      </c>
      <c r="C15" s="11" t="s">
        <v>56</v>
      </c>
      <c r="D15" s="8" t="s">
        <v>5</v>
      </c>
      <c r="E15" s="12" t="s">
        <v>31</v>
      </c>
      <c r="F15" s="11"/>
      <c r="G15" s="11"/>
    </row>
    <row r="16" spans="1:7" x14ac:dyDescent="0.15">
      <c r="B16" s="8" t="s">
        <v>69</v>
      </c>
      <c r="C16" s="44">
        <v>27287827</v>
      </c>
      <c r="D16" s="43" t="s">
        <v>7</v>
      </c>
      <c r="E16" s="12" t="s">
        <v>57</v>
      </c>
      <c r="F16" s="11"/>
      <c r="G16" s="11"/>
    </row>
    <row r="17" spans="1:7" x14ac:dyDescent="0.15">
      <c r="B17" s="8" t="s">
        <v>9</v>
      </c>
      <c r="C17" s="11" t="s">
        <v>55</v>
      </c>
      <c r="D17" s="8" t="s">
        <v>8</v>
      </c>
      <c r="E17" s="12" t="s">
        <v>58</v>
      </c>
      <c r="F17" s="11"/>
      <c r="G17" s="11"/>
    </row>
    <row r="19" spans="1:7" x14ac:dyDescent="0.15">
      <c r="A19" s="41" t="s">
        <v>63</v>
      </c>
      <c r="B19" s="41"/>
      <c r="C19" s="13"/>
      <c r="D19" s="13"/>
      <c r="E19" s="13"/>
      <c r="F19" s="13"/>
      <c r="G19" s="13"/>
    </row>
    <row r="20" spans="1:7" ht="26" customHeight="1" x14ac:dyDescent="0.15">
      <c r="A20" s="14" t="s">
        <v>59</v>
      </c>
      <c r="B20" s="14"/>
      <c r="C20" s="14"/>
      <c r="D20" s="14"/>
      <c r="E20" s="14"/>
      <c r="F20" s="14"/>
      <c r="G20" s="14"/>
    </row>
    <row r="21" spans="1:7" x14ac:dyDescent="0.15">
      <c r="A21" s="14"/>
      <c r="B21" s="14"/>
      <c r="C21" s="14"/>
      <c r="D21" s="14"/>
      <c r="E21" s="14"/>
      <c r="F21" s="14"/>
      <c r="G21" s="14"/>
    </row>
    <row r="22" spans="1:7" x14ac:dyDescent="0.15">
      <c r="A22" s="15"/>
      <c r="B22" s="15"/>
      <c r="C22" s="15"/>
      <c r="D22" s="15"/>
      <c r="E22" s="15"/>
      <c r="F22" s="15"/>
      <c r="G22" s="15"/>
    </row>
    <row r="23" spans="1:7" x14ac:dyDescent="0.15">
      <c r="A23" s="16" t="s">
        <v>35</v>
      </c>
      <c r="B23" s="16"/>
      <c r="C23" s="16"/>
      <c r="D23" s="16"/>
      <c r="E23" s="16"/>
      <c r="F23" s="16"/>
      <c r="G23" s="16"/>
    </row>
    <row r="25" spans="1:7" x14ac:dyDescent="0.15">
      <c r="A25" s="45" t="s">
        <v>71</v>
      </c>
      <c r="B25" s="45"/>
      <c r="C25" s="45"/>
      <c r="D25" s="45"/>
      <c r="E25" s="45"/>
      <c r="F25" s="45"/>
      <c r="G25" s="45"/>
    </row>
    <row r="27" spans="1:7" x14ac:dyDescent="0.15">
      <c r="A27" s="18" t="s">
        <v>11</v>
      </c>
      <c r="B27" s="18" t="s">
        <v>12</v>
      </c>
      <c r="C27" s="18" t="s">
        <v>32</v>
      </c>
      <c r="D27" s="18" t="s">
        <v>37</v>
      </c>
      <c r="E27" s="18" t="s">
        <v>38</v>
      </c>
      <c r="F27" s="18" t="s">
        <v>40</v>
      </c>
      <c r="G27" s="18" t="s">
        <v>41</v>
      </c>
    </row>
    <row r="28" spans="1:7" x14ac:dyDescent="0.15">
      <c r="A28" s="19" t="s">
        <v>60</v>
      </c>
      <c r="B28" s="21">
        <v>145</v>
      </c>
      <c r="C28" s="20" t="s">
        <v>47</v>
      </c>
      <c r="D28" s="21">
        <v>1</v>
      </c>
      <c r="E28" s="19" t="s">
        <v>45</v>
      </c>
      <c r="F28" s="21">
        <f>B28*D28</f>
        <v>145</v>
      </c>
      <c r="G28" s="19" t="s">
        <v>33</v>
      </c>
    </row>
    <row r="29" spans="1:7" x14ac:dyDescent="0.15">
      <c r="A29" s="19" t="s">
        <v>61</v>
      </c>
      <c r="B29" s="21">
        <v>250</v>
      </c>
      <c r="C29" s="20" t="s">
        <v>47</v>
      </c>
      <c r="D29" s="21">
        <v>1</v>
      </c>
      <c r="E29" s="19" t="s">
        <v>49</v>
      </c>
      <c r="F29" s="21">
        <f t="shared" ref="F29:F32" si="0">B29*D29</f>
        <v>250</v>
      </c>
      <c r="G29" s="19" t="s">
        <v>33</v>
      </c>
    </row>
    <row r="30" spans="1:7" x14ac:dyDescent="0.15">
      <c r="A30" s="19" t="s">
        <v>62</v>
      </c>
      <c r="B30" s="21">
        <v>120</v>
      </c>
      <c r="C30" s="20" t="s">
        <v>47</v>
      </c>
      <c r="D30" s="21">
        <v>1</v>
      </c>
      <c r="E30" s="19" t="s">
        <v>43</v>
      </c>
      <c r="F30" s="21">
        <f t="shared" si="0"/>
        <v>120</v>
      </c>
      <c r="G30" s="19" t="s">
        <v>33</v>
      </c>
    </row>
    <row r="31" spans="1:7" x14ac:dyDescent="0.15">
      <c r="A31" s="19" t="s">
        <v>65</v>
      </c>
      <c r="B31" s="21">
        <v>30</v>
      </c>
      <c r="C31" s="20" t="s">
        <v>47</v>
      </c>
      <c r="D31" s="21">
        <v>1</v>
      </c>
      <c r="E31" s="19" t="s">
        <v>45</v>
      </c>
      <c r="F31" s="21">
        <f t="shared" si="0"/>
        <v>30</v>
      </c>
      <c r="G31" s="19" t="s">
        <v>33</v>
      </c>
    </row>
    <row r="32" spans="1:7" x14ac:dyDescent="0.15">
      <c r="A32" s="19" t="s">
        <v>66</v>
      </c>
      <c r="B32" s="21">
        <v>70</v>
      </c>
      <c r="C32" s="20" t="s">
        <v>47</v>
      </c>
      <c r="D32" s="21">
        <v>1</v>
      </c>
      <c r="E32" s="19" t="s">
        <v>45</v>
      </c>
      <c r="F32" s="21">
        <f t="shared" si="0"/>
        <v>70</v>
      </c>
      <c r="G32" s="19" t="s">
        <v>33</v>
      </c>
    </row>
    <row r="33" spans="1:7" x14ac:dyDescent="0.15">
      <c r="A33" s="19" t="s">
        <v>67</v>
      </c>
      <c r="B33" s="21">
        <v>600</v>
      </c>
      <c r="C33" s="20" t="s">
        <v>47</v>
      </c>
      <c r="D33" s="21">
        <v>1</v>
      </c>
      <c r="E33" s="19" t="s">
        <v>45</v>
      </c>
      <c r="F33" s="21">
        <f t="shared" ref="F33" si="1">B33*D33</f>
        <v>600</v>
      </c>
      <c r="G33" s="19" t="s">
        <v>33</v>
      </c>
    </row>
    <row r="34" spans="1:7" x14ac:dyDescent="0.15">
      <c r="A34" s="22" t="s">
        <v>34</v>
      </c>
      <c r="B34" s="22"/>
      <c r="C34" s="22"/>
      <c r="D34" s="22"/>
      <c r="E34" s="22"/>
      <c r="F34" s="37">
        <f>SUM(F28:F33)</f>
        <v>1215</v>
      </c>
      <c r="G34" s="23"/>
    </row>
    <row r="36" spans="1:7" x14ac:dyDescent="0.15">
      <c r="A36" s="24" t="s">
        <v>46</v>
      </c>
      <c r="B36" s="36">
        <v>1.19</v>
      </c>
      <c r="C36" s="25" t="s">
        <v>33</v>
      </c>
    </row>
    <row r="37" spans="1:7" x14ac:dyDescent="0.15">
      <c r="A37" s="38"/>
      <c r="B37" s="39"/>
      <c r="C37" s="40"/>
    </row>
    <row r="38" spans="1:7" x14ac:dyDescent="0.15">
      <c r="A38" s="2" t="s">
        <v>53</v>
      </c>
    </row>
    <row r="39" spans="1:7" x14ac:dyDescent="0.15">
      <c r="A39" s="38"/>
      <c r="B39" s="39"/>
      <c r="C39" s="40"/>
    </row>
    <row r="40" spans="1:7" x14ac:dyDescent="0.15">
      <c r="A40" s="17" t="s">
        <v>13</v>
      </c>
      <c r="B40" s="17"/>
      <c r="C40" s="17"/>
      <c r="D40" s="17"/>
      <c r="E40" s="17"/>
      <c r="F40" s="17"/>
      <c r="G40" s="17"/>
    </row>
    <row r="42" spans="1:7" ht="16" customHeight="1" x14ac:dyDescent="0.15">
      <c r="B42" s="42" t="s">
        <v>23</v>
      </c>
      <c r="C42" s="26" t="s">
        <v>0</v>
      </c>
      <c r="D42" s="27"/>
      <c r="E42" s="27"/>
      <c r="F42" s="27"/>
      <c r="G42" s="28"/>
    </row>
    <row r="43" spans="1:7" ht="16" customHeight="1" x14ac:dyDescent="0.15">
      <c r="B43" s="42" t="s">
        <v>26</v>
      </c>
      <c r="C43" s="29" t="s">
        <v>64</v>
      </c>
      <c r="D43" s="29"/>
      <c r="E43" s="29"/>
      <c r="F43" s="29"/>
      <c r="G43" s="29"/>
    </row>
    <row r="44" spans="1:7" ht="16" customHeight="1" x14ac:dyDescent="0.15">
      <c r="B44" s="42" t="s">
        <v>19</v>
      </c>
      <c r="C44" s="30" t="s">
        <v>68</v>
      </c>
      <c r="D44" s="31"/>
      <c r="E44" s="31"/>
      <c r="F44" s="31"/>
      <c r="G44" s="32"/>
    </row>
    <row r="45" spans="1:7" x14ac:dyDescent="0.15">
      <c r="B45" s="42" t="s">
        <v>20</v>
      </c>
      <c r="C45" s="30" t="s">
        <v>50</v>
      </c>
      <c r="D45" s="31"/>
      <c r="E45" s="31"/>
      <c r="F45" s="31"/>
      <c r="G45" s="32"/>
    </row>
    <row r="46" spans="1:7" x14ac:dyDescent="0.15">
      <c r="B46" s="42" t="s">
        <v>21</v>
      </c>
      <c r="C46" s="26" t="s">
        <v>22</v>
      </c>
      <c r="D46" s="27"/>
      <c r="E46" s="27"/>
      <c r="F46" s="27"/>
      <c r="G46" s="28"/>
    </row>
    <row r="47" spans="1:7" x14ac:dyDescent="0.15">
      <c r="B47" s="42" t="s">
        <v>24</v>
      </c>
      <c r="C47" s="33" t="s">
        <v>25</v>
      </c>
      <c r="D47" s="34"/>
      <c r="E47" s="34"/>
      <c r="F47" s="34"/>
      <c r="G47" s="35"/>
    </row>
    <row r="49" spans="1:1" x14ac:dyDescent="0.15">
      <c r="A49" s="2" t="s">
        <v>51</v>
      </c>
    </row>
  </sheetData>
  <mergeCells count="16">
    <mergeCell ref="A40:G40"/>
    <mergeCell ref="A19:B19"/>
    <mergeCell ref="A34:E34"/>
    <mergeCell ref="A23:G23"/>
    <mergeCell ref="C44:G44"/>
    <mergeCell ref="C45:G45"/>
    <mergeCell ref="C43:G43"/>
    <mergeCell ref="C46:G46"/>
    <mergeCell ref="C42:G42"/>
    <mergeCell ref="C47:G47"/>
    <mergeCell ref="A20:G21"/>
    <mergeCell ref="A25:G25"/>
    <mergeCell ref="A12:G12"/>
    <mergeCell ref="A1:G1"/>
    <mergeCell ref="A3:G3"/>
    <mergeCell ref="A8:G8"/>
  </mergeCells>
  <phoneticPr fontId="10" type="noConversion"/>
  <pageMargins left="0.7" right="0.7" top="0.75" bottom="0.75" header="0.3" footer="0.3"/>
  <pageSetup scale="77" fitToHeight="0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7F7E3F-36E3-D846-A9CD-CD1F411CF7B3}">
          <x14:formula1>
            <xm:f>Hoja2!$A$2:$A$7</xm:f>
          </x14:formula1>
          <xm:sqref>E28:E33</xm:sqref>
        </x14:dataValidation>
        <x14:dataValidation type="list" allowBlank="1" showInputMessage="1" showErrorMessage="1" xr:uid="{EE1967A3-69D4-8B4F-9DBF-737B4B07E7B2}">
          <x14:formula1>
            <xm:f>Hoja2!$B$2:$B$3</xm:f>
          </x14:formula1>
          <xm:sqref>C28:C33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D448-FEEF-D345-8046-00781600D9D8}">
  <dimension ref="A1:B7"/>
  <sheetViews>
    <sheetView workbookViewId="0">
      <selection activeCell="A8" sqref="A8"/>
    </sheetView>
  </sheetViews>
  <sheetFormatPr baseColWidth="10" defaultRowHeight="16" x14ac:dyDescent="0.2"/>
  <sheetData>
    <row r="1" spans="1:2" x14ac:dyDescent="0.2">
      <c r="A1" s="3" t="s">
        <v>38</v>
      </c>
      <c r="B1" s="4" t="s">
        <v>41</v>
      </c>
    </row>
    <row r="2" spans="1:2" x14ac:dyDescent="0.2">
      <c r="A2" s="1" t="s">
        <v>39</v>
      </c>
      <c r="B2" s="1" t="s">
        <v>47</v>
      </c>
    </row>
    <row r="3" spans="1:2" x14ac:dyDescent="0.2">
      <c r="A3" s="1" t="s">
        <v>43</v>
      </c>
      <c r="B3" s="1" t="s">
        <v>48</v>
      </c>
    </row>
    <row r="4" spans="1:2" x14ac:dyDescent="0.2">
      <c r="A4" s="1" t="s">
        <v>44</v>
      </c>
    </row>
    <row r="5" spans="1:2" x14ac:dyDescent="0.2">
      <c r="A5" s="1" t="s">
        <v>45</v>
      </c>
    </row>
    <row r="6" spans="1:2" x14ac:dyDescent="0.2">
      <c r="A6" s="1" t="s">
        <v>42</v>
      </c>
    </row>
    <row r="7" spans="1:2" x14ac:dyDescent="0.2">
      <c r="A7" s="1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5447A025290A47B31DFB4537B85050" ma:contentTypeVersion="18" ma:contentTypeDescription="Crear nuevo documento." ma:contentTypeScope="" ma:versionID="a65ba9da776f1b4101a688f16abb4782">
  <xsd:schema xmlns:xsd="http://www.w3.org/2001/XMLSchema" xmlns:xs="http://www.w3.org/2001/XMLSchema" xmlns:p="http://schemas.microsoft.com/office/2006/metadata/properties" xmlns:ns2="7ab71778-a163-4105-80e1-36a320de2bae" xmlns:ns3="d0bdec18-90b0-443f-a814-7187e1008490" targetNamespace="http://schemas.microsoft.com/office/2006/metadata/properties" ma:root="true" ma:fieldsID="46384b348b0fb2545c06ced634edc431" ns2:_="" ns3:_="">
    <xsd:import namespace="7ab71778-a163-4105-80e1-36a320de2bae"/>
    <xsd:import namespace="d0bdec18-90b0-443f-a814-7187e10084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71778-a163-4105-80e1-36a320de2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04f94b-e447-44e7-bd06-45b390c370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dec18-90b0-443f-a814-7187e100849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0c13424-ce49-48c3-a3f5-5f6f00c0ae97}" ma:internalName="TaxCatchAll" ma:showField="CatchAllData" ma:web="d0bdec18-90b0-443f-a814-7187e10084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bdec18-90b0-443f-a814-7187e1008490" xsi:nil="true"/>
    <lcf76f155ced4ddcb4097134ff3c332f xmlns="7ab71778-a163-4105-80e1-36a320de2b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550FCF-1915-4601-A1AE-FDD2A0FD6342}"/>
</file>

<file path=customXml/itemProps2.xml><?xml version="1.0" encoding="utf-8"?>
<ds:datastoreItem xmlns:ds="http://schemas.openxmlformats.org/officeDocument/2006/customXml" ds:itemID="{D76F92B1-8EB2-4C5C-8329-2B3674AFD001}"/>
</file>

<file path=customXml/itemProps3.xml><?xml version="1.0" encoding="utf-8"?>
<ds:datastoreItem xmlns:ds="http://schemas.openxmlformats.org/officeDocument/2006/customXml" ds:itemID="{1C1EEB38-83BA-45D6-B8C0-FFB75C382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Mejia Lozano</dc:creator>
  <cp:lastModifiedBy>Jose Luis Mejia Lozano</cp:lastModifiedBy>
  <cp:lastPrinted>2026-03-27T05:05:53Z</cp:lastPrinted>
  <dcterms:created xsi:type="dcterms:W3CDTF">2026-03-27T04:13:22Z</dcterms:created>
  <dcterms:modified xsi:type="dcterms:W3CDTF">2026-03-27T06:48:43Z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0x0101003E5447A025290A47B31DFB4537B85050</vt:lpwstr>
  </property>
</Properties>
</file>